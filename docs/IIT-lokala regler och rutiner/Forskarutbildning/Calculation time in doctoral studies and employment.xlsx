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/Users/ewc/Desktop/proprefekt/FORSKARUTBILDNING/Kartlägga institutionstjänstgöring/Beräkna tid för doktoranderna/"/>
    </mc:Choice>
  </mc:AlternateContent>
  <xr:revisionPtr revIDLastSave="0" documentId="13_ncr:1_{5CEC5654-727D-3B4F-998C-55D37AECCC0E}" xr6:coauthVersionLast="47" xr6:coauthVersionMax="47" xr10:uidLastSave="{00000000-0000-0000-0000-000000000000}"/>
  <bookViews>
    <workbookView xWindow="1760" yWindow="1920" windowWidth="32200" windowHeight="19200" firstSheet="1" activeTab="1" xr2:uid="{B47DEC5F-1F15-4B49-A753-5B1A994F873B}"/>
  </bookViews>
  <sheets>
    <sheet name="Your calculation" sheetId="6" r:id="rId1"/>
    <sheet name="Exampl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I18" i="1" l="1"/>
  <c r="I9" i="1"/>
  <c r="L9" i="1" s="1"/>
  <c r="F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E10" i="1"/>
  <c r="E14" i="1"/>
  <c r="E15" i="1"/>
  <c r="E16" i="1"/>
  <c r="E17" i="1"/>
  <c r="E18" i="1"/>
  <c r="E13" i="1"/>
  <c r="F13" i="1" s="1"/>
  <c r="J22" i="1"/>
  <c r="J19" i="1"/>
  <c r="J20" i="1"/>
  <c r="J21" i="1"/>
  <c r="E11" i="1"/>
  <c r="E12" i="1"/>
  <c r="E8" i="1"/>
  <c r="I8" i="1"/>
  <c r="L8" i="1" s="1"/>
  <c r="F17" i="1" l="1"/>
  <c r="F16" i="1"/>
  <c r="J16" i="1" s="1"/>
  <c r="F8" i="1"/>
  <c r="J8" i="1" s="1"/>
  <c r="F12" i="1"/>
  <c r="J12" i="1" s="1"/>
  <c r="F14" i="1"/>
  <c r="F10" i="1"/>
  <c r="J10" i="1" s="1"/>
  <c r="F15" i="1"/>
  <c r="J15" i="1" s="1"/>
  <c r="F11" i="1"/>
  <c r="J11" i="1" s="1"/>
  <c r="J14" i="1"/>
  <c r="J13" i="1"/>
  <c r="J17" i="1"/>
  <c r="L18" i="1"/>
  <c r="F18" i="1" s="1"/>
  <c r="J18" i="1" s="1"/>
  <c r="J9" i="1"/>
  <c r="J23" i="1" l="1"/>
  <c r="K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tc={BB56EA6F-A622-704C-9F54-11CA8DFC0A8D}</author>
    <author>tc={D9EBBB12-3487-934B-BD3F-FB697EA29532}</author>
  </authors>
  <commentList>
    <comment ref="G6" authorId="0" shapeId="0" xr:uid="{BB56EA6F-A622-704C-9F54-11CA8DFC0A8D}">
      <text>
        <t>[Threaded comment]
Your version of Excel allows you to read this threaded comment; however, any edits to it will get removed if the file is opened in a newer version of Excel. Learn more: https://go.microsoft.com/fwlink/?linkid=870924
Comment:
    Employment contract period is one year.</t>
      </text>
    </comment>
    <comment ref="I16" authorId="1" shapeId="0" xr:uid="{D9EBBB12-3487-934B-BD3F-FB697EA29532}">
      <text>
        <t>[Threaded comment]
Your version of Excel allows you to read this threaded comment; however, any edits to it will get removed if the file is opened in a newer version of Excel. Learn more: https://go.microsoft.com/fwlink/?linkid=870924
Comment:
    leap year</t>
      </text>
    </comment>
  </commentList>
</comments>
</file>

<file path=xl/sharedStrings.xml><?xml version="1.0" encoding="utf-8"?>
<sst xmlns="http://schemas.openxmlformats.org/spreadsheetml/2006/main" count="38" uniqueCount="31">
  <si>
    <t>Halfyear</t>
  </si>
  <si>
    <t xml:space="preserve"> Planned/actual employment of full time, to be reported in Ladok </t>
  </si>
  <si>
    <t xml:space="preserve">Planned/actual department duties as teaching from Retendo </t>
  </si>
  <si>
    <t xml:space="preserve">Planned/actual department duties others than teaching from Retendo </t>
  </si>
  <si>
    <t xml:space="preserve"> Planned/actual  total department duties to be reported in ISP</t>
  </si>
  <si>
    <t xml:space="preserve">Planned/actual research studies to be reported in Ladok and ISP </t>
  </si>
  <si>
    <t>Employment contract start date</t>
  </si>
  <si>
    <t>Employment contract end date</t>
  </si>
  <si>
    <t>Number of full days in contract in period</t>
  </si>
  <si>
    <t>Number of total days in the period corrected with planned/actual research study study %</t>
  </si>
  <si>
    <t>Planned/actual time on leave, EXCEPT vacation, from Primula</t>
  </si>
  <si>
    <t>Planned/actual on leave, EXCEPT vacation, to be reported in ISP</t>
  </si>
  <si>
    <t>%</t>
  </si>
  <si>
    <t>hours</t>
  </si>
  <si>
    <t>YYYY-MM-DD</t>
  </si>
  <si>
    <t>days</t>
  </si>
  <si>
    <t>vt24</t>
  </si>
  <si>
    <t>Actual</t>
  </si>
  <si>
    <t>ht24</t>
  </si>
  <si>
    <t>Planned</t>
  </si>
  <si>
    <t>vt25</t>
  </si>
  <si>
    <t>ht25</t>
  </si>
  <si>
    <t>vt26</t>
  </si>
  <si>
    <t>ht26</t>
  </si>
  <si>
    <t>vt27</t>
  </si>
  <si>
    <t>ht27</t>
  </si>
  <si>
    <t>vt28</t>
  </si>
  <si>
    <t>ht28</t>
  </si>
  <si>
    <t>vt29</t>
  </si>
  <si>
    <t>Sum</t>
  </si>
  <si>
    <t xml:space="preserve">Plan the remaing half-year´s department duties to get zero: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</si>
</sst>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.5"/>
      <color theme="3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5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0.5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4" borderId="4" xfId="0" applyFont="1" applyFill="1" applyBorder="1" applyAlignment="1">
      <alignment horizontal="center" wrapText="1"/>
    </xf>
    <xf numFmtId="9" fontId="4" fillId="3" borderId="5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" fontId="5" fillId="3" borderId="5" xfId="0" applyNumberFormat="1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/>
    </xf>
    <xf numFmtId="9" fontId="4" fillId="5" borderId="5" xfId="0" applyNumberFormat="1" applyFont="1" applyFill="1" applyBorder="1" applyAlignment="1">
      <alignment horizontal="center"/>
    </xf>
    <xf numFmtId="0" fontId="0" fillId="4" borderId="0" xfId="0" applyFill="1"/>
    <xf numFmtId="1" fontId="4" fillId="4" borderId="9" xfId="0" applyNumberFormat="1" applyFont="1" applyFill="1" applyBorder="1" applyAlignment="1">
      <alignment horizontal="center"/>
    </xf>
    <xf numFmtId="9" fontId="4" fillId="3" borderId="6" xfId="0" applyNumberFormat="1" applyFont="1" applyFill="1" applyBorder="1" applyAlignment="1">
      <alignment horizontal="center"/>
    </xf>
    <xf numFmtId="0" fontId="4" fillId="4" borderId="0" xfId="1" applyNumberFormat="1" applyFont="1" applyFill="1" applyBorder="1" applyAlignment="1">
      <alignment horizontal="right"/>
    </xf>
    <xf numFmtId="1" fontId="4" fillId="4" borderId="0" xfId="0" applyNumberFormat="1" applyFont="1" applyFill="1" applyAlignment="1">
      <alignment horizontal="center"/>
    </xf>
    <xf numFmtId="14" fontId="4" fillId="5" borderId="5" xfId="0" applyNumberFormat="1" applyFont="1" applyFill="1" applyBorder="1" applyAlignment="1" applyProtection="1">
      <alignment horizontal="center"/>
      <protection locked="0"/>
    </xf>
    <xf numFmtId="0" fontId="3" fillId="4" borderId="10" xfId="0" applyFont="1" applyFill="1" applyBorder="1" applyAlignment="1">
      <alignment horizontal="center" wrapText="1"/>
    </xf>
    <xf numFmtId="9" fontId="4" fillId="3" borderId="11" xfId="0" applyNumberFormat="1" applyFont="1" applyFill="1" applyBorder="1" applyAlignment="1">
      <alignment horizontal="center"/>
    </xf>
    <xf numFmtId="9" fontId="4" fillId="5" borderId="11" xfId="1" applyFont="1" applyFill="1" applyBorder="1" applyAlignment="1" applyProtection="1">
      <alignment horizontal="center"/>
      <protection locked="0"/>
    </xf>
    <xf numFmtId="0" fontId="4" fillId="5" borderId="5" xfId="1" applyNumberFormat="1" applyFont="1" applyFill="1" applyBorder="1" applyAlignment="1" applyProtection="1">
      <alignment horizontal="center"/>
      <protection locked="0"/>
    </xf>
    <xf numFmtId="9" fontId="4" fillId="4" borderId="0" xfId="1" applyFont="1" applyFill="1" applyBorder="1" applyAlignment="1">
      <alignment horizontal="right"/>
    </xf>
    <xf numFmtId="0" fontId="3" fillId="4" borderId="8" xfId="0" applyFont="1" applyFill="1" applyBorder="1" applyAlignment="1">
      <alignment horizontal="center" wrapText="1"/>
    </xf>
    <xf numFmtId="9" fontId="4" fillId="7" borderId="11" xfId="1" applyFont="1" applyFill="1" applyBorder="1" applyAlignment="1" applyProtection="1">
      <alignment horizontal="center"/>
      <protection locked="0"/>
    </xf>
    <xf numFmtId="0" fontId="4" fillId="7" borderId="5" xfId="1" applyNumberFormat="1" applyFont="1" applyFill="1" applyBorder="1" applyAlignment="1" applyProtection="1">
      <alignment horizontal="center"/>
      <protection locked="0"/>
    </xf>
    <xf numFmtId="9" fontId="4" fillId="7" borderId="5" xfId="0" applyNumberFormat="1" applyFont="1" applyFill="1" applyBorder="1" applyAlignment="1">
      <alignment horizontal="center"/>
    </xf>
    <xf numFmtId="14" fontId="4" fillId="7" borderId="5" xfId="0" applyNumberFormat="1" applyFont="1" applyFill="1" applyBorder="1" applyAlignment="1" applyProtection="1">
      <alignment horizontal="center"/>
      <protection locked="0"/>
    </xf>
    <xf numFmtId="1" fontId="4" fillId="7" borderId="5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0" fillId="5" borderId="8" xfId="0" applyFill="1" applyBorder="1"/>
    <xf numFmtId="0" fontId="0" fillId="5" borderId="5" xfId="0" applyFill="1" applyBorder="1"/>
    <xf numFmtId="1" fontId="3" fillId="6" borderId="5" xfId="0" applyNumberFormat="1" applyFont="1" applyFill="1" applyBorder="1" applyAlignment="1">
      <alignment horizontal="right"/>
    </xf>
    <xf numFmtId="0" fontId="3" fillId="4" borderId="0" xfId="0" applyFont="1" applyFill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6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4" borderId="9" xfId="0" applyFill="1" applyBorder="1"/>
    <xf numFmtId="0" fontId="4" fillId="7" borderId="5" xfId="0" applyFont="1" applyFill="1" applyBorder="1"/>
    <xf numFmtId="0" fontId="4" fillId="5" borderId="5" xfId="0" applyFont="1" applyFill="1" applyBorder="1"/>
    <xf numFmtId="0" fontId="7" fillId="7" borderId="5" xfId="0" applyFont="1" applyFill="1" applyBorder="1"/>
    <xf numFmtId="0" fontId="7" fillId="5" borderId="5" xfId="0" applyFont="1" applyFill="1" applyBorder="1"/>
    <xf numFmtId="9" fontId="4" fillId="7" borderId="6" xfId="1" applyFont="1" applyFill="1" applyBorder="1" applyAlignment="1">
      <alignment horizontal="center"/>
    </xf>
    <xf numFmtId="9" fontId="4" fillId="5" borderId="6" xfId="1" applyFont="1" applyFill="1" applyBorder="1" applyAlignment="1">
      <alignment horizontal="center"/>
    </xf>
    <xf numFmtId="9" fontId="0" fillId="5" borderId="6" xfId="1" applyFont="1" applyFill="1" applyBorder="1" applyAlignment="1">
      <alignment horizontal="center"/>
    </xf>
    <xf numFmtId="0" fontId="4" fillId="4" borderId="9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Normal" xfId="0" builtinId="0"/>
    <cellStyle name="Procent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wa Wäckelgård" id="{A1856875-ABC2-EA49-8EC2-D397795BE32B}" userId="0ba1161218e96b44" providerId="Windows Live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5-03-26T08:08:54.85" personId="{A1856875-ABC2-EA49-8EC2-D397795BE32B}" id="{BB56EA6F-A622-704C-9F54-11CA8DFC0A8D}">
    <text>Employment contract period is one year.</text>
  </threadedComment>
  <threadedComment ref="I16" dT="2025-03-25T16:12:32.88" personId="{A1856875-ABC2-EA49-8EC2-D397795BE32B}" id="{D9EBBB12-3487-934B-BD3F-FB697EA29532}">
    <text>leap year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C2A0-1F38-5E4D-B946-C6FC3600683B}">
  <dimension ref="A1"/>
  <sheetViews>
    <sheetView workbookViewId="0">
      <selection activeCell="G33" sqref="G33"/>
    </sheetView>
  </sheetViews>
  <sheetFormatPr defaultColWidth="11" defaultRowHeight="15.9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B0D6-9AD4-0341-87E8-A70F5347C05A}">
  <dimension ref="A4:M26"/>
  <sheetViews>
    <sheetView tabSelected="1" topLeftCell="A4" zoomScale="134" zoomScaleNormal="134" workbookViewId="0">
      <selection activeCell="K8" sqref="K8"/>
    </sheetView>
  </sheetViews>
  <sheetFormatPr defaultColWidth="11" defaultRowHeight="15.95"/>
  <cols>
    <col min="2" max="6" width="12" customWidth="1"/>
    <col min="10" max="10" width="11.5" customWidth="1"/>
    <col min="11" max="11" width="14.375" customWidth="1"/>
    <col min="12" max="12" width="13" customWidth="1"/>
    <col min="15" max="15" width="10.875" customWidth="1"/>
  </cols>
  <sheetData>
    <row r="4" spans="1:13" ht="17.100000000000001" thickBot="1">
      <c r="B4" s="1"/>
      <c r="C4" s="2"/>
      <c r="D4" s="2"/>
      <c r="E4" s="2"/>
      <c r="F4" s="2"/>
      <c r="G4" s="3"/>
      <c r="H4" s="3"/>
      <c r="I4" s="2"/>
      <c r="J4" s="2"/>
      <c r="K4" s="2"/>
    </row>
    <row r="5" spans="1:13" ht="17.100000000000001" thickBo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</row>
    <row r="6" spans="1:13" ht="144">
      <c r="A6" s="4" t="s">
        <v>0</v>
      </c>
      <c r="B6" s="16" t="s">
        <v>1</v>
      </c>
      <c r="C6" s="4" t="s">
        <v>2</v>
      </c>
      <c r="D6" s="4" t="s">
        <v>3</v>
      </c>
      <c r="E6" s="4" t="s">
        <v>4</v>
      </c>
      <c r="F6" s="21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21"/>
    </row>
    <row r="7" spans="1:13">
      <c r="A7" s="5"/>
      <c r="B7" s="17" t="s">
        <v>12</v>
      </c>
      <c r="C7" s="12" t="s">
        <v>13</v>
      </c>
      <c r="D7" s="12" t="s">
        <v>13</v>
      </c>
      <c r="E7" s="6" t="s">
        <v>12</v>
      </c>
      <c r="F7" s="6" t="s">
        <v>12</v>
      </c>
      <c r="G7" s="6" t="s">
        <v>14</v>
      </c>
      <c r="H7" s="6" t="s">
        <v>14</v>
      </c>
      <c r="I7" s="6" t="s">
        <v>15</v>
      </c>
      <c r="J7" s="7" t="s">
        <v>15</v>
      </c>
      <c r="K7" s="8" t="s">
        <v>15</v>
      </c>
      <c r="L7" s="6" t="s">
        <v>12</v>
      </c>
      <c r="M7" s="6"/>
    </row>
    <row r="8" spans="1:13">
      <c r="A8" s="43" t="s">
        <v>16</v>
      </c>
      <c r="B8" s="22">
        <v>1</v>
      </c>
      <c r="C8" s="23">
        <v>160</v>
      </c>
      <c r="D8" s="23">
        <v>0</v>
      </c>
      <c r="E8" s="24">
        <f>(C8+D8)/850</f>
        <v>0.18823529411764706</v>
      </c>
      <c r="F8" s="24">
        <f t="shared" ref="F8:F18" si="0">B8-E8-L8</f>
        <v>0.63319327731092434</v>
      </c>
      <c r="G8" s="25">
        <v>45306</v>
      </c>
      <c r="H8" s="25">
        <v>45473</v>
      </c>
      <c r="I8" s="26">
        <f>(H8-G8+1)</f>
        <v>168</v>
      </c>
      <c r="J8" s="26">
        <f>I8*F8</f>
        <v>106.37647058823529</v>
      </c>
      <c r="K8" s="27">
        <v>30</v>
      </c>
      <c r="L8" s="45">
        <f t="shared" ref="L8:L18" si="1">K8/I8</f>
        <v>0.17857142857142858</v>
      </c>
      <c r="M8" s="41" t="s">
        <v>17</v>
      </c>
    </row>
    <row r="9" spans="1:13">
      <c r="A9" s="44" t="s">
        <v>18</v>
      </c>
      <c r="B9" s="18">
        <v>1</v>
      </c>
      <c r="C9" s="19">
        <v>170</v>
      </c>
      <c r="D9" s="19"/>
      <c r="E9" s="9">
        <f t="shared" ref="E9:E18" si="2">(C9+D9)/850</f>
        <v>0.2</v>
      </c>
      <c r="F9" s="9">
        <f t="shared" si="0"/>
        <v>0.8</v>
      </c>
      <c r="G9" s="15">
        <v>45474</v>
      </c>
      <c r="H9" s="15">
        <v>45657</v>
      </c>
      <c r="I9" s="28">
        <f t="shared" ref="I9:I18" si="3">(H9-G9+1)</f>
        <v>184</v>
      </c>
      <c r="J9" s="28">
        <f t="shared" ref="J9:J22" si="4">I9*F9</f>
        <v>147.20000000000002</v>
      </c>
      <c r="K9" s="29"/>
      <c r="L9" s="46">
        <f t="shared" si="1"/>
        <v>0</v>
      </c>
      <c r="M9" s="42" t="s">
        <v>19</v>
      </c>
    </row>
    <row r="10" spans="1:13">
      <c r="A10" s="44" t="s">
        <v>20</v>
      </c>
      <c r="B10" s="18">
        <v>1</v>
      </c>
      <c r="C10" s="19">
        <v>170</v>
      </c>
      <c r="D10" s="19"/>
      <c r="E10" s="9">
        <f t="shared" si="2"/>
        <v>0.2</v>
      </c>
      <c r="F10" s="9">
        <f t="shared" si="0"/>
        <v>0.8</v>
      </c>
      <c r="G10" s="15">
        <v>45658</v>
      </c>
      <c r="H10" s="15">
        <v>45838</v>
      </c>
      <c r="I10" s="28">
        <f t="shared" si="3"/>
        <v>181</v>
      </c>
      <c r="J10" s="28">
        <f t="shared" si="4"/>
        <v>144.80000000000001</v>
      </c>
      <c r="K10" s="29"/>
      <c r="L10" s="46">
        <f t="shared" si="1"/>
        <v>0</v>
      </c>
      <c r="M10" s="42"/>
    </row>
    <row r="11" spans="1:13">
      <c r="A11" s="44" t="s">
        <v>21</v>
      </c>
      <c r="B11" s="18">
        <v>1</v>
      </c>
      <c r="C11" s="19">
        <v>170</v>
      </c>
      <c r="D11" s="19"/>
      <c r="E11" s="9">
        <f t="shared" si="2"/>
        <v>0.2</v>
      </c>
      <c r="F11" s="9">
        <f t="shared" si="0"/>
        <v>0.8</v>
      </c>
      <c r="G11" s="15">
        <v>45839</v>
      </c>
      <c r="H11" s="15">
        <v>46022</v>
      </c>
      <c r="I11" s="28">
        <f t="shared" si="3"/>
        <v>184</v>
      </c>
      <c r="J11" s="28">
        <f t="shared" si="4"/>
        <v>147.20000000000002</v>
      </c>
      <c r="K11" s="29"/>
      <c r="L11" s="46">
        <f t="shared" si="1"/>
        <v>0</v>
      </c>
      <c r="M11" s="42"/>
    </row>
    <row r="12" spans="1:13">
      <c r="A12" s="44" t="s">
        <v>22</v>
      </c>
      <c r="B12" s="18">
        <v>1</v>
      </c>
      <c r="C12" s="19">
        <v>170</v>
      </c>
      <c r="D12" s="19"/>
      <c r="E12" s="9">
        <f t="shared" si="2"/>
        <v>0.2</v>
      </c>
      <c r="F12" s="9">
        <f t="shared" si="0"/>
        <v>0.8</v>
      </c>
      <c r="G12" s="15">
        <v>46023</v>
      </c>
      <c r="H12" s="15">
        <v>46203</v>
      </c>
      <c r="I12" s="28">
        <f t="shared" si="3"/>
        <v>181</v>
      </c>
      <c r="J12" s="28">
        <f t="shared" si="4"/>
        <v>144.80000000000001</v>
      </c>
      <c r="K12" s="29"/>
      <c r="L12" s="46">
        <f t="shared" si="1"/>
        <v>0</v>
      </c>
      <c r="M12" s="42"/>
    </row>
    <row r="13" spans="1:13">
      <c r="A13" s="44" t="s">
        <v>23</v>
      </c>
      <c r="B13" s="18">
        <v>1</v>
      </c>
      <c r="C13" s="19">
        <v>170</v>
      </c>
      <c r="D13" s="19"/>
      <c r="E13" s="9">
        <f t="shared" si="2"/>
        <v>0.2</v>
      </c>
      <c r="F13" s="9">
        <f t="shared" si="0"/>
        <v>0.8</v>
      </c>
      <c r="G13" s="15">
        <v>46204</v>
      </c>
      <c r="H13" s="15">
        <v>46387</v>
      </c>
      <c r="I13" s="28">
        <f t="shared" si="3"/>
        <v>184</v>
      </c>
      <c r="J13" s="28">
        <f t="shared" si="4"/>
        <v>147.20000000000002</v>
      </c>
      <c r="K13" s="29"/>
      <c r="L13" s="46">
        <f t="shared" si="1"/>
        <v>0</v>
      </c>
      <c r="M13" s="42"/>
    </row>
    <row r="14" spans="1:13">
      <c r="A14" s="44" t="s">
        <v>24</v>
      </c>
      <c r="B14" s="18">
        <v>1</v>
      </c>
      <c r="C14" s="19">
        <v>170</v>
      </c>
      <c r="D14" s="19"/>
      <c r="E14" s="9">
        <f t="shared" si="2"/>
        <v>0.2</v>
      </c>
      <c r="F14" s="9">
        <f t="shared" si="0"/>
        <v>0.8</v>
      </c>
      <c r="G14" s="15">
        <v>46388</v>
      </c>
      <c r="H14" s="15">
        <v>46568</v>
      </c>
      <c r="I14" s="28">
        <f t="shared" si="3"/>
        <v>181</v>
      </c>
      <c r="J14" s="28">
        <f t="shared" si="4"/>
        <v>144.80000000000001</v>
      </c>
      <c r="K14" s="29"/>
      <c r="L14" s="46">
        <f t="shared" si="1"/>
        <v>0</v>
      </c>
      <c r="M14" s="42"/>
    </row>
    <row r="15" spans="1:13">
      <c r="A15" s="44" t="s">
        <v>25</v>
      </c>
      <c r="B15" s="18">
        <v>1</v>
      </c>
      <c r="C15" s="19">
        <v>170</v>
      </c>
      <c r="D15" s="19"/>
      <c r="E15" s="9">
        <f t="shared" si="2"/>
        <v>0.2</v>
      </c>
      <c r="F15" s="9">
        <f t="shared" si="0"/>
        <v>0.8</v>
      </c>
      <c r="G15" s="15">
        <v>46569</v>
      </c>
      <c r="H15" s="15">
        <v>46752</v>
      </c>
      <c r="I15" s="28">
        <f t="shared" si="3"/>
        <v>184</v>
      </c>
      <c r="J15" s="28">
        <f t="shared" si="4"/>
        <v>147.20000000000002</v>
      </c>
      <c r="K15" s="29"/>
      <c r="L15" s="46">
        <f t="shared" si="1"/>
        <v>0</v>
      </c>
      <c r="M15" s="42"/>
    </row>
    <row r="16" spans="1:13">
      <c r="A16" s="44" t="s">
        <v>26</v>
      </c>
      <c r="B16" s="18">
        <v>1</v>
      </c>
      <c r="C16" s="19">
        <v>170</v>
      </c>
      <c r="D16" s="19"/>
      <c r="E16" s="9">
        <f t="shared" si="2"/>
        <v>0.2</v>
      </c>
      <c r="F16" s="9">
        <f t="shared" si="0"/>
        <v>0.8</v>
      </c>
      <c r="G16" s="15">
        <v>46753</v>
      </c>
      <c r="H16" s="15">
        <v>46934</v>
      </c>
      <c r="I16" s="28">
        <f t="shared" si="3"/>
        <v>182</v>
      </c>
      <c r="J16" s="28">
        <f t="shared" si="4"/>
        <v>145.6</v>
      </c>
      <c r="K16" s="29"/>
      <c r="L16" s="46">
        <f t="shared" si="1"/>
        <v>0</v>
      </c>
      <c r="M16" s="42"/>
    </row>
    <row r="17" spans="1:13">
      <c r="A17" s="44" t="s">
        <v>27</v>
      </c>
      <c r="B17" s="18">
        <v>1</v>
      </c>
      <c r="C17" s="19">
        <v>170</v>
      </c>
      <c r="D17" s="19"/>
      <c r="E17" s="9">
        <f t="shared" si="2"/>
        <v>0.2</v>
      </c>
      <c r="F17" s="9">
        <f t="shared" si="0"/>
        <v>0.8</v>
      </c>
      <c r="G17" s="15">
        <v>46935</v>
      </c>
      <c r="H17" s="15">
        <v>47118</v>
      </c>
      <c r="I17" s="28">
        <f t="shared" si="3"/>
        <v>184</v>
      </c>
      <c r="J17" s="28">
        <f t="shared" si="4"/>
        <v>147.20000000000002</v>
      </c>
      <c r="K17" s="29"/>
      <c r="L17" s="46">
        <f t="shared" si="1"/>
        <v>0</v>
      </c>
      <c r="M17" s="42"/>
    </row>
    <row r="18" spans="1:13">
      <c r="A18" s="44" t="s">
        <v>28</v>
      </c>
      <c r="B18" s="18">
        <v>1</v>
      </c>
      <c r="C18" s="19">
        <v>170</v>
      </c>
      <c r="D18" s="19"/>
      <c r="E18" s="9">
        <f t="shared" si="2"/>
        <v>0.2</v>
      </c>
      <c r="F18" s="9">
        <f t="shared" si="0"/>
        <v>0.8</v>
      </c>
      <c r="G18" s="15">
        <v>47119</v>
      </c>
      <c r="H18" s="15">
        <v>47165</v>
      </c>
      <c r="I18" s="28">
        <f t="shared" si="3"/>
        <v>47</v>
      </c>
      <c r="J18" s="28">
        <f t="shared" si="4"/>
        <v>37.6</v>
      </c>
      <c r="K18" s="29"/>
      <c r="L18" s="46">
        <f t="shared" si="1"/>
        <v>0</v>
      </c>
      <c r="M18" s="42"/>
    </row>
    <row r="19" spans="1:13">
      <c r="A19" s="30"/>
      <c r="B19" s="18"/>
      <c r="C19" s="19"/>
      <c r="D19" s="19"/>
      <c r="E19" s="9"/>
      <c r="F19" s="9"/>
      <c r="G19" s="15"/>
      <c r="H19" s="15"/>
      <c r="I19" s="28"/>
      <c r="J19" s="28">
        <f t="shared" si="4"/>
        <v>0</v>
      </c>
      <c r="K19" s="29"/>
      <c r="L19" s="47"/>
      <c r="M19" s="31"/>
    </row>
    <row r="20" spans="1:13">
      <c r="A20" s="31"/>
      <c r="B20" s="18"/>
      <c r="C20" s="19"/>
      <c r="D20" s="19"/>
      <c r="E20" s="9"/>
      <c r="F20" s="9"/>
      <c r="G20" s="15"/>
      <c r="H20" s="15"/>
      <c r="I20" s="28"/>
      <c r="J20" s="28">
        <f t="shared" si="4"/>
        <v>0</v>
      </c>
      <c r="K20" s="29"/>
      <c r="L20" s="47"/>
      <c r="M20" s="31"/>
    </row>
    <row r="21" spans="1:13">
      <c r="A21" s="31"/>
      <c r="B21" s="18"/>
      <c r="C21" s="19"/>
      <c r="D21" s="19"/>
      <c r="E21" s="9"/>
      <c r="F21" s="9"/>
      <c r="G21" s="15"/>
      <c r="H21" s="15"/>
      <c r="I21" s="28"/>
      <c r="J21" s="28">
        <f t="shared" si="4"/>
        <v>0</v>
      </c>
      <c r="K21" s="29"/>
      <c r="L21" s="47"/>
      <c r="M21" s="31"/>
    </row>
    <row r="22" spans="1:13">
      <c r="A22" s="31"/>
      <c r="B22" s="18"/>
      <c r="C22" s="19"/>
      <c r="D22" s="19"/>
      <c r="E22" s="9"/>
      <c r="F22" s="9"/>
      <c r="G22" s="15"/>
      <c r="H22" s="15"/>
      <c r="I22" s="28"/>
      <c r="J22" s="28">
        <f t="shared" si="4"/>
        <v>0</v>
      </c>
      <c r="K22" s="29"/>
      <c r="L22" s="47"/>
      <c r="M22" s="31"/>
    </row>
    <row r="23" spans="1:13">
      <c r="A23" s="33"/>
      <c r="B23" s="13"/>
      <c r="C23" s="13"/>
      <c r="D23" s="13"/>
      <c r="E23" s="20"/>
      <c r="F23" s="20"/>
      <c r="G23" s="13"/>
      <c r="H23" s="10"/>
      <c r="I23" s="13" t="s">
        <v>29</v>
      </c>
      <c r="J23" s="14">
        <f>SUM(J8:J22)</f>
        <v>1459.9764705882353</v>
      </c>
      <c r="K23" s="14"/>
      <c r="L23" s="10"/>
      <c r="M23" s="10"/>
    </row>
    <row r="24" spans="1:13">
      <c r="A24" s="34"/>
      <c r="B24" s="48"/>
      <c r="C24" s="48"/>
      <c r="D24" s="48"/>
      <c r="E24" s="48"/>
      <c r="F24" s="48"/>
      <c r="G24" s="48"/>
      <c r="H24" s="48"/>
      <c r="I24" s="48"/>
      <c r="J24" s="11"/>
      <c r="K24" s="32">
        <f>1460-J23</f>
        <v>2.3529411764684482E-2</v>
      </c>
      <c r="L24" s="40" t="s">
        <v>30</v>
      </c>
      <c r="M24" s="40"/>
    </row>
    <row r="25" spans="1:13">
      <c r="B25" s="35"/>
      <c r="C25" s="35"/>
      <c r="D25" s="35"/>
      <c r="E25" s="36"/>
      <c r="F25" s="36"/>
      <c r="G25" s="37"/>
      <c r="H25" s="37"/>
      <c r="I25" s="36"/>
      <c r="J25" s="36"/>
      <c r="K25" s="36"/>
    </row>
    <row r="26" spans="1:13">
      <c r="B26" s="38"/>
      <c r="C26" s="38"/>
      <c r="D26" s="38"/>
      <c r="E26" s="38"/>
      <c r="F26" s="38"/>
      <c r="G26" s="39"/>
      <c r="H26" s="39"/>
      <c r="I26" s="38"/>
      <c r="J26" s="38"/>
      <c r="K26" s="38"/>
    </row>
  </sheetData>
  <mergeCells count="2">
    <mergeCell ref="B24:I24"/>
    <mergeCell ref="A5:M5"/>
  </mergeCells>
  <conditionalFormatting sqref="K24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594a9d-9aa1-4ba7-bbad-5aec2e11e0a1" xsi:nil="true"/>
    <lcf76f155ced4ddcb4097134ff3c332f xmlns="e7b3104b-98f3-440f-913f-c762fe1451e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A44D5BBC198C49946F5782DD761FB4" ma:contentTypeVersion="16" ma:contentTypeDescription="Create a new document." ma:contentTypeScope="" ma:versionID="2d1f33421bf31fe4d40d284a29283fb9">
  <xsd:schema xmlns:xsd="http://www.w3.org/2001/XMLSchema" xmlns:xs="http://www.w3.org/2001/XMLSchema" xmlns:p="http://schemas.microsoft.com/office/2006/metadata/properties" xmlns:ns2="e7b3104b-98f3-440f-913f-c762fe1451e0" xmlns:ns3="62594a9d-9aa1-4ba7-bbad-5aec2e11e0a1" targetNamespace="http://schemas.microsoft.com/office/2006/metadata/properties" ma:root="true" ma:fieldsID="b0d231ef4160682fb6150f2a42d35f9a" ns2:_="" ns3:_="">
    <xsd:import namespace="e7b3104b-98f3-440f-913f-c762fe1451e0"/>
    <xsd:import namespace="62594a9d-9aa1-4ba7-bbad-5aec2e11e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3104b-98f3-440f-913f-c762fe1451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e8987a6-c1bb-4d45-96f2-f973512b71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94a9d-9aa1-4ba7-bbad-5aec2e11e0a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11ba6f5-d876-4ed3-8c06-cc62a765768f}" ma:internalName="TaxCatchAll" ma:showField="CatchAllData" ma:web="62594a9d-9aa1-4ba7-bbad-5aec2e11e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261E99-30B1-451E-9246-BEB79C180504}"/>
</file>

<file path=customXml/itemProps2.xml><?xml version="1.0" encoding="utf-8"?>
<ds:datastoreItem xmlns:ds="http://schemas.openxmlformats.org/officeDocument/2006/customXml" ds:itemID="{99F9C891-022B-4D06-B9F4-4CA729B1DE1E}"/>
</file>

<file path=customXml/itemProps3.xml><?xml version="1.0" encoding="utf-8"?>
<ds:datastoreItem xmlns:ds="http://schemas.openxmlformats.org/officeDocument/2006/customXml" ds:itemID="{094013BA-8A7D-402E-A56F-B0570B641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 Wäckelgård</dc:creator>
  <cp:keywords/>
  <dc:description/>
  <cp:lastModifiedBy>Ewa Wäckelgård (HDa)</cp:lastModifiedBy>
  <cp:revision/>
  <dcterms:created xsi:type="dcterms:W3CDTF">2025-01-30T10:32:58Z</dcterms:created>
  <dcterms:modified xsi:type="dcterms:W3CDTF">2025-09-29T08:40:39Z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0x01010062A44D5BBC198C49946F5782DD761FB4</vt:lpwstr>
  </property>
  <property fmtid="{D5CDD505-2E9C-101B-9397-08002B2CF9AE}" pid="3" name="MediaServiceImageTags">
    <vt:lpwstr/>
  </property>
</Properties>
</file>